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ção - Login" sheetId="1" state="visible" r:id="rId3"/>
    <sheet name="Bugs" sheetId="2" state="visible" r:id="rId4"/>
    <sheet name="Evidê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<sst xmlns="http://schemas.openxmlformats.org/spreadsheetml/2006/main" count="164" uniqueCount="117">
  <si>
    <t xml:space="preserve">Teste do login: saucedemo.com</t>
  </si>
  <si>
    <t xml:space="preserve">Como usar: abra https://www.saucedemo.com, siga os passos de cada linha e preencha só as células amarelas.</t>
  </si>
  <si>
    <t xml:space="preserve">Exemplo de "Resultado obtido": apareceu mensagem vermelha de erro e não entrou na lista de produtos. Copie o texto exato que o site mostrar.</t>
  </si>
  <si>
    <t xml:space="preserve">Preencha também (uma vez):</t>
  </si>
  <si>
    <t xml:space="preserve">Navegador</t>
  </si>
  <si>
    <t xml:space="preserve">Google Chrome, versão 154.0.8037.57 (64 bits)</t>
  </si>
  <si>
    <t xml:space="preserve">Data</t>
  </si>
  <si>
    <t xml:space="preserve">Executado por</t>
  </si>
  <si>
    <t xml:space="preserve">Liliane Costa</t>
  </si>
  <si>
    <t xml:space="preserve">#</t>
  </si>
  <si>
    <t xml:space="preserve">Cenário</t>
  </si>
  <si>
    <t xml:space="preserve">Tipo</t>
  </si>
  <si>
    <t xml:space="preserve">Usuário</t>
  </si>
  <si>
    <t xml:space="preserve">Senha</t>
  </si>
  <si>
    <t xml:space="preserve">Passos</t>
  </si>
  <si>
    <t xml:space="preserve">Resultado esperado</t>
  </si>
  <si>
    <t xml:space="preserve">Resultado obtido</t>
  </si>
  <si>
    <t xml:space="preserve">Status</t>
  </si>
  <si>
    <t xml:space="preserve">Observação / ID do bug</t>
  </si>
  <si>
    <t xml:space="preserve">Evidência (arquivo)</t>
  </si>
  <si>
    <t xml:space="preserve">Login com usuário e senha válidos</t>
  </si>
  <si>
    <t xml:space="preserve">Positivo</t>
  </si>
  <si>
    <t xml:space="preserve">standard_user</t>
  </si>
  <si>
    <t xml:space="preserve">secret_sauce</t>
  </si>
  <si>
    <t xml:space="preserve">1) Abrir o site 2) Digitar usuário e senha 3) Clicar em Login</t>
  </si>
  <si>
    <t xml:space="preserve">Abre a lista de produtos</t>
  </si>
  <si>
    <t xml:space="preserve">Logou e abriu a lista de produtos (inventory.html), com a imagem correta em cada produto.</t>
  </si>
  <si>
    <t xml:space="preserve">Passou</t>
  </si>
  <si>
    <t xml:space="preserve">cenario-01-login-valido.png</t>
  </si>
  <si>
    <t xml:space="preserve">Login com outro usuário válido</t>
  </si>
  <si>
    <t xml:space="preserve">problem_user</t>
  </si>
  <si>
    <t xml:space="preserve">Logou e abriu a lista de produtos, mas todos os produtos mostram a mesma imagem (um cachorro com uma bola).</t>
  </si>
  <si>
    <t xml:space="preserve">Defeito na lista de produtos: a mesma imagem aparece em todos os produtos. Registrado como BUG-001. Este usuário de treino tem defeitos de propósito.</t>
  </si>
  <si>
    <t xml:space="preserve">cenario-02-problem-user.png</t>
  </si>
  <si>
    <t xml:space="preserve">Senha incorreta</t>
  </si>
  <si>
    <t xml:space="preserve">Negativo</t>
  </si>
  <si>
    <t xml:space="preserve">senha_errada</t>
  </si>
  <si>
    <t xml:space="preserve">1) Abrir o site 2) Digitar usuário e a senha errada 3) Clicar em Login</t>
  </si>
  <si>
    <t xml:space="preserve">Mensagem de erro; não entra</t>
  </si>
  <si>
    <t xml:space="preserve">Apareceu "Epic sadface: Username and password do not match any user in this service" e o usuário não entrou.</t>
  </si>
  <si>
    <t xml:space="preserve">Mesma mensagem para usuário ou senha errados: boa prática de segurança, pois não revela qual dado está errado. Mensagem em inglês é padrão do site de treino; não é bug.</t>
  </si>
  <si>
    <t xml:space="preserve">cenario-03-senha-incorreta.png</t>
  </si>
  <si>
    <t xml:space="preserve">Usuário inexistente</t>
  </si>
  <si>
    <t xml:space="preserve">usuario_falso</t>
  </si>
  <si>
    <t xml:space="preserve">Mesma mensagem do cenário 3: o site não revela se o usuário ou a senha está errado (boa prática de segurança).</t>
  </si>
  <si>
    <t xml:space="preserve">cenario-04-usuario-inexistente.png</t>
  </si>
  <si>
    <t xml:space="preserve">Os dois campos vazios</t>
  </si>
  <si>
    <t xml:space="preserve">(vazio)</t>
  </si>
  <si>
    <t xml:space="preserve">1) Abrir o site 2) Não digitar nada 3) Clicar em Login</t>
  </si>
  <si>
    <t xml:space="preserve">Aviso de campo obrigatório</t>
  </si>
  <si>
    <t xml:space="preserve">Apareceu "Epic sadface: Username is required"; os campos Username e Password ficaram em vermelho.</t>
  </si>
  <si>
    <t xml:space="preserve">cenario-05-campos-vazios.png</t>
  </si>
  <si>
    <t xml:space="preserve">Só o usuário preenchido</t>
  </si>
  <si>
    <t xml:space="preserve">1) Abrir o site 2) Digitar só o usuário 3) Clicar em Login</t>
  </si>
  <si>
    <t xml:space="preserve">Aviso de senha obrigatória</t>
  </si>
  <si>
    <t xml:space="preserve">Apareceu "Epic sadface: Password is required"; só o campo Password ficou em vermelho.</t>
  </si>
  <si>
    <t xml:space="preserve">cenario-06-senha-vazia.png</t>
  </si>
  <si>
    <t xml:space="preserve">Usuário bloqueado</t>
  </si>
  <si>
    <t xml:space="preserve">locked_out_user</t>
  </si>
  <si>
    <t xml:space="preserve">Mensagem informando que o usuário está bloqueado; não entra</t>
  </si>
  <si>
    <t xml:space="preserve">Apareceu "Epic sadface: Sorry, this user has been locked out." e o usuário não entrou.</t>
  </si>
  <si>
    <t xml:space="preserve">cenario-07-usuario-bloqueado.png</t>
  </si>
  <si>
    <t xml:space="preserve">Usuário com maiúsculas trocadas</t>
  </si>
  <si>
    <t xml:space="preserve">Standard_User</t>
  </si>
  <si>
    <t xml:space="preserve">1) Abrir o site 2) Digitar usuário com a inicial maiúscula 3) Clicar em Login</t>
  </si>
  <si>
    <t xml:space="preserve">Não entra (anote como o site tratou)</t>
  </si>
  <si>
    <t xml:space="preserve">Apareceu "Epic sadface: Username and password do not match any user in this service". O site diferencia maiúsculas de minúsculas.</t>
  </si>
  <si>
    <t xml:space="preserve">Conclusão: o site diferencia maiúsculas de minúsculas no nome de usuário.</t>
  </si>
  <si>
    <t xml:space="preserve">cenario-08-usuario-maiusculas.png</t>
  </si>
  <si>
    <t xml:space="preserve">Senha aparece mascarada</t>
  </si>
  <si>
    <t xml:space="preserve">Não funcional (segurança)</t>
  </si>
  <si>
    <t xml:space="preserve">1) Abrir o site 2) Digitar a senha e olhar o campo</t>
  </si>
  <si>
    <t xml:space="preserve">Caracteres ocultos (bolinhas)</t>
  </si>
  <si>
    <t xml:space="preserve">Os caracteres da senha aparecem como bolinhas.</t>
  </si>
  <si>
    <t xml:space="preserve">cenario-09-senha-mascarada.png</t>
  </si>
  <si>
    <t xml:space="preserve">Login pelo celular</t>
  </si>
  <si>
    <t xml:space="preserve">Não funcional (usabilidade)</t>
  </si>
  <si>
    <t xml:space="preserve">1) F12 2) Ctrl+Shift+M (modo celular) 3) Fazer login</t>
  </si>
  <si>
    <t xml:space="preserve">Campos e botão visíveis e clicáveis; entra normalmente</t>
  </si>
  <si>
    <t xml:space="preserve">Logou e a lista de produtos abriu no modo celular (400 x 498): menu, carrinho, filtro e produtos visíveis.</t>
  </si>
  <si>
    <t xml:space="preserve">Layout se adapta bem ao celular: o filtro mostra só o ícone.</t>
  </si>
  <si>
    <t xml:space="preserve">cenario-10-modo-celular.png</t>
  </si>
  <si>
    <t xml:space="preserve">Resumo</t>
  </si>
  <si>
    <t xml:space="preserve">Total de cenários</t>
  </si>
  <si>
    <t xml:space="preserve">Falhou</t>
  </si>
  <si>
    <t xml:space="preserve">Bloqueado</t>
  </si>
  <si>
    <t xml:space="preserve">Não executado</t>
  </si>
  <si>
    <t xml:space="preserve">% executado</t>
  </si>
  <si>
    <t xml:space="preserve">Cada falha vira um bug na aba "Bugs".</t>
  </si>
  <si>
    <t xml:space="preserve">Registro de bugs</t>
  </si>
  <si>
    <t xml:space="preserve">Para cada cenário que falhou, escreva um bug. Preencha as células amarelas.</t>
  </si>
  <si>
    <t xml:space="preserve">ID</t>
  </si>
  <si>
    <t xml:space="preserve">Cenário (#)</t>
  </si>
  <si>
    <t xml:space="preserve">Título</t>
  </si>
  <si>
    <t xml:space="preserve">Passos para reproduzir</t>
  </si>
  <si>
    <t xml:space="preserve">Resultado atual</t>
  </si>
  <si>
    <t xml:space="preserve">Severidade</t>
  </si>
  <si>
    <t xml:space="preserve">Prioridade</t>
  </si>
  <si>
    <t xml:space="preserve">BUG-001</t>
  </si>
  <si>
    <t xml:space="preserve">Lista de produtos: a mesma imagem de cachorro aparece em todos os produtos para o problem_user</t>
  </si>
  <si>
    <t xml:space="preserve">1) Abrir https://www.saucedemo.com 2) Digitar problem_user e secret_sauce 3) Clicar em Login 4) Olhar a lista de produtos</t>
  </si>
  <si>
    <t xml:space="preserve">Cada produto mostra a sua própria imagem (mochila, luz de bicicleta, camiseta, jaqueta...), como acontece com o standard_user</t>
  </si>
  <si>
    <t xml:space="preserve">Todos os produtos mostram a mesma foto de um cachorro com uma bola de tênis; nome, descrição e preço estão corretos</t>
  </si>
  <si>
    <t xml:space="preserve">Média</t>
  </si>
  <si>
    <t xml:space="preserve">bug-001-print.png (atual) e cenario-01-login-valido.png (esperado)</t>
  </si>
  <si>
    <t xml:space="preserve">BUG-002</t>
  </si>
  <si>
    <t xml:space="preserve">BUG-003</t>
  </si>
  <si>
    <t xml:space="preserve">BUG-004</t>
  </si>
  <si>
    <t xml:space="preserve">BUG-005</t>
  </si>
  <si>
    <t xml:space="preserve">BUG-006</t>
  </si>
  <si>
    <t xml:space="preserve">BUG-007</t>
  </si>
  <si>
    <t xml:space="preserve">BUG-008</t>
  </si>
  <si>
    <t xml:space="preserve">Evidências dos testes</t>
  </si>
  <si>
    <t xml:space="preserve">Um print por cenário. O nome do arquivo é o mesmo da coluna "Evidência (arquivo)" da aba de execução.</t>
  </si>
  <si>
    <t xml:space="preserve">Nome do arquivo</t>
  </si>
  <si>
    <t xml:space="preserve">Print</t>
  </si>
  <si>
    <t xml:space="preserve">bug-001-print.png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</si>
</sst>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8C96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2A8C96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8C96"/>
        <bgColor rgb="FF2F9E6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8C9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2F9E6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3</xdr:row>
      <xdr:rowOff>160920</xdr:rowOff>
    </xdr:from>
    <xdr:to>
      <xdr:col>2</xdr:col>
      <xdr:colOff>4952160</xdr:colOff>
      <xdr:row>4</xdr:row>
      <xdr:rowOff>2560320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101400" y="761040"/>
          <a:ext cx="4952160" cy="258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2684520</xdr:rowOff>
    </xdr:from>
    <xdr:to>
      <xdr:col>2</xdr:col>
      <xdr:colOff>4952160</xdr:colOff>
      <xdr:row>5</xdr:row>
      <xdr:rowOff>2579400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101400" y="3475080"/>
          <a:ext cx="4952160" cy="260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2703960</xdr:rowOff>
    </xdr:from>
    <xdr:to>
      <xdr:col>2</xdr:col>
      <xdr:colOff>4095000</xdr:colOff>
      <xdr:row>6</xdr:row>
      <xdr:rowOff>2741040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101400" y="6209280"/>
          <a:ext cx="4095000" cy="277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2865600</xdr:rowOff>
    </xdr:from>
    <xdr:to>
      <xdr:col>2</xdr:col>
      <xdr:colOff>5333400</xdr:colOff>
      <xdr:row>7</xdr:row>
      <xdr:rowOff>2169720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101400" y="9104400"/>
          <a:ext cx="5333400" cy="21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</xdr:row>
      <xdr:rowOff>2294280</xdr:rowOff>
    </xdr:from>
    <xdr:to>
      <xdr:col>2</xdr:col>
      <xdr:colOff>5333400</xdr:colOff>
      <xdr:row>8</xdr:row>
      <xdr:rowOff>2293560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3101400" y="11428920"/>
          <a:ext cx="5333400" cy="232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</xdr:row>
      <xdr:rowOff>2418120</xdr:rowOff>
    </xdr:from>
    <xdr:to>
      <xdr:col>2</xdr:col>
      <xdr:colOff>5333400</xdr:colOff>
      <xdr:row>9</xdr:row>
      <xdr:rowOff>2721960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101400" y="13876560"/>
          <a:ext cx="5333400" cy="275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</xdr:row>
      <xdr:rowOff>2846520</xdr:rowOff>
    </xdr:from>
    <xdr:to>
      <xdr:col>2</xdr:col>
      <xdr:colOff>5333400</xdr:colOff>
      <xdr:row>10</xdr:row>
      <xdr:rowOff>2246040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101400" y="16752960"/>
          <a:ext cx="5333400" cy="227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2370600</xdr:rowOff>
    </xdr:from>
    <xdr:to>
      <xdr:col>2</xdr:col>
      <xdr:colOff>4095000</xdr:colOff>
      <xdr:row>11</xdr:row>
      <xdr:rowOff>2379240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3101400" y="19153800"/>
          <a:ext cx="4095000" cy="2408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11</xdr:row>
      <xdr:rowOff>2503800</xdr:rowOff>
    </xdr:from>
    <xdr:to>
      <xdr:col>2</xdr:col>
      <xdr:colOff>5333400</xdr:colOff>
      <xdr:row>12</xdr:row>
      <xdr:rowOff>2598480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3101400" y="21687120"/>
          <a:ext cx="5333400" cy="26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12</xdr:row>
      <xdr:rowOff>2722680</xdr:rowOff>
    </xdr:from>
    <xdr:to>
      <xdr:col>2</xdr:col>
      <xdr:colOff>4380840</xdr:colOff>
      <xdr:row>13</xdr:row>
      <xdr:rowOff>3741480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3101400" y="24439680"/>
          <a:ext cx="4380840" cy="3771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H8" activePane="bottomRight" state="frozen"/>
      <selection pane="topLeft" activeCell="A1" activeCellId="0" sqref="A1"/>
      <selection pane="topRight" activeCell="H1" activeCellId="0" sqref="H1"/>
      <selection pane="bottomLeft" activeCell="A8" activeCellId="0" sqref="A8"/>
      <selection pane="bottomRight" activeCell="K17" activeCellId="0" sqref="K17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8.73"/>
    <col collapsed="false" customWidth="true" hidden="false" outlineLevel="0" max="2" min="2" style="1" width="51.09"/>
    <col collapsed="false" customWidth="true" hidden="false" outlineLevel="0" max="3" min="3" style="1" width="25.82"/>
    <col collapsed="false" customWidth="true" hidden="false" outlineLevel="0" max="4" min="4" style="1" width="29.82"/>
    <col collapsed="false" customWidth="true" hidden="false" outlineLevel="0" max="5" min="5" style="1" width="25.36"/>
    <col collapsed="false" customWidth="true" hidden="false" outlineLevel="0" max="6" min="6" style="1" width="67.36"/>
    <col collapsed="false" customWidth="true" hidden="false" outlineLevel="0" max="7" min="7" style="1" width="34"/>
    <col collapsed="false" customWidth="true" hidden="false" outlineLevel="0" max="8" min="8" style="1" width="36"/>
    <col collapsed="false" customWidth="true" hidden="false" outlineLevel="0" max="9" min="9" style="1" width="16"/>
    <col collapsed="false" customWidth="true" hidden="false" outlineLevel="0" max="10" min="10" style="1" width="28"/>
    <col collapsed="false" customWidth="true" hidden="false" outlineLevel="0" max="11" min="11" style="1" width="26.45"/>
  </cols>
  <sheetData>
    <row r="1" customFormat="false" ht="18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 t="s">
        <v>1</v>
      </c>
    </row>
    <row r="3" customFormat="false" ht="14.25" hidden="false" customHeight="true" outlineLevel="0" collapsed="false">
      <c r="A3" s="3" t="s">
        <v>2</v>
      </c>
    </row>
    <row r="4" customFormat="false" ht="14.25" hidden="false" customHeight="true" outlineLevel="0" collapsed="false">
      <c r="A4" s="4" t="s">
        <v>3</v>
      </c>
    </row>
    <row r="5" customFormat="false" ht="14.25" hidden="false" customHeight="true" outlineLevel="0" collapsed="false">
      <c r="A5" s="4" t="s">
        <v>4</v>
      </c>
      <c r="B5" s="5" t="s">
        <v>5</v>
      </c>
      <c r="C5" s="4" t="s">
        <v>6</v>
      </c>
      <c r="D5" s="6" t="n">
        <v>46306</v>
      </c>
      <c r="E5" s="4" t="s">
        <v>7</v>
      </c>
      <c r="F5" s="7" t="s">
        <v>8</v>
      </c>
    </row>
    <row r="7" customFormat="false" ht="55.5" hidden="false" customHeight="true" outlineLevel="0" collapsed="false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19</v>
      </c>
    </row>
    <row r="8" customFormat="false" ht="39" hidden="false" customHeight="true" outlineLevel="0" collapsed="false">
      <c r="A8" s="9" t="n">
        <v>1</v>
      </c>
      <c r="B8" s="9" t="s">
        <v>20</v>
      </c>
      <c r="C8" s="9" t="s">
        <v>21</v>
      </c>
      <c r="D8" s="9" t="s">
        <v>22</v>
      </c>
      <c r="E8" s="9" t="s">
        <v>23</v>
      </c>
      <c r="F8" s="9" t="s">
        <v>24</v>
      </c>
      <c r="G8" s="9" t="s">
        <v>25</v>
      </c>
      <c r="H8" s="9" t="s">
        <v>26</v>
      </c>
      <c r="I8" s="9" t="s">
        <v>27</v>
      </c>
      <c r="J8" s="9"/>
      <c r="K8" s="9" t="s">
        <v>28</v>
      </c>
    </row>
    <row r="9" customFormat="false" ht="27.75" hidden="false" customHeight="true" outlineLevel="0" collapsed="false">
      <c r="A9" s="9" t="n">
        <v>2</v>
      </c>
      <c r="B9" s="9" t="s">
        <v>29</v>
      </c>
      <c r="C9" s="9" t="s">
        <v>21</v>
      </c>
      <c r="D9" s="9" t="s">
        <v>30</v>
      </c>
      <c r="E9" s="9" t="s">
        <v>23</v>
      </c>
      <c r="F9" s="9" t="s">
        <v>24</v>
      </c>
      <c r="G9" s="9" t="s">
        <v>25</v>
      </c>
      <c r="H9" s="9" t="s">
        <v>31</v>
      </c>
      <c r="I9" s="9" t="s">
        <v>27</v>
      </c>
      <c r="J9" s="9" t="s">
        <v>32</v>
      </c>
      <c r="K9" s="9" t="s">
        <v>33</v>
      </c>
    </row>
    <row r="10" customFormat="false" ht="97.5" hidden="false" customHeight="true" outlineLevel="0" collapsed="false">
      <c r="A10" s="9" t="n">
        <v>3</v>
      </c>
      <c r="B10" s="9" t="s">
        <v>34</v>
      </c>
      <c r="C10" s="9" t="s">
        <v>35</v>
      </c>
      <c r="D10" s="9" t="s">
        <v>22</v>
      </c>
      <c r="E10" s="9" t="s">
        <v>36</v>
      </c>
      <c r="F10" s="9" t="s">
        <v>37</v>
      </c>
      <c r="G10" s="9" t="s">
        <v>38</v>
      </c>
      <c r="H10" s="9" t="s">
        <v>39</v>
      </c>
      <c r="I10" s="9" t="s">
        <v>27</v>
      </c>
      <c r="J10" s="9" t="s">
        <v>40</v>
      </c>
      <c r="K10" s="9" t="s">
        <v>41</v>
      </c>
    </row>
    <row r="11" customFormat="false" ht="27.75" hidden="false" customHeight="true" outlineLevel="0" collapsed="false">
      <c r="A11" s="9" t="n">
        <v>4</v>
      </c>
      <c r="B11" s="9" t="s">
        <v>42</v>
      </c>
      <c r="C11" s="9" t="s">
        <v>35</v>
      </c>
      <c r="D11" s="9" t="s">
        <v>43</v>
      </c>
      <c r="E11" s="9" t="s">
        <v>23</v>
      </c>
      <c r="F11" s="9" t="s">
        <v>24</v>
      </c>
      <c r="G11" s="9" t="s">
        <v>38</v>
      </c>
      <c r="H11" s="9" t="s">
        <v>39</v>
      </c>
      <c r="I11" s="9" t="s">
        <v>27</v>
      </c>
      <c r="J11" s="9" t="s">
        <v>44</v>
      </c>
      <c r="K11" s="9" t="s">
        <v>45</v>
      </c>
    </row>
    <row r="12" customFormat="false" ht="27.75" hidden="false" customHeight="true" outlineLevel="0" collapsed="false">
      <c r="A12" s="9" t="n">
        <v>5</v>
      </c>
      <c r="B12" s="9" t="s">
        <v>46</v>
      </c>
      <c r="C12" s="9" t="s">
        <v>35</v>
      </c>
      <c r="D12" s="9" t="s">
        <v>47</v>
      </c>
      <c r="E12" s="9" t="s">
        <v>47</v>
      </c>
      <c r="F12" s="9" t="s">
        <v>48</v>
      </c>
      <c r="G12" s="9" t="s">
        <v>49</v>
      </c>
      <c r="H12" s="9" t="s">
        <v>50</v>
      </c>
      <c r="I12" s="9" t="s">
        <v>27</v>
      </c>
      <c r="J12" s="9"/>
      <c r="K12" s="9" t="s">
        <v>51</v>
      </c>
    </row>
    <row r="13" customFormat="false" ht="39" hidden="false" customHeight="true" outlineLevel="0" collapsed="false">
      <c r="A13" s="9" t="n">
        <v>6</v>
      </c>
      <c r="B13" s="9" t="s">
        <v>52</v>
      </c>
      <c r="C13" s="9" t="s">
        <v>35</v>
      </c>
      <c r="D13" s="9" t="s">
        <v>22</v>
      </c>
      <c r="E13" s="9" t="s">
        <v>47</v>
      </c>
      <c r="F13" s="9" t="s">
        <v>53</v>
      </c>
      <c r="G13" s="9" t="s">
        <v>54</v>
      </c>
      <c r="H13" s="9" t="s">
        <v>55</v>
      </c>
      <c r="I13" s="9" t="s">
        <v>27</v>
      </c>
      <c r="J13" s="9"/>
      <c r="K13" s="9" t="s">
        <v>56</v>
      </c>
    </row>
    <row r="14" customFormat="false" ht="27.75" hidden="false" customHeight="true" outlineLevel="0" collapsed="false">
      <c r="A14" s="9" t="n">
        <v>7</v>
      </c>
      <c r="B14" s="9" t="s">
        <v>57</v>
      </c>
      <c r="C14" s="9" t="s">
        <v>35</v>
      </c>
      <c r="D14" s="9" t="s">
        <v>58</v>
      </c>
      <c r="E14" s="9" t="s">
        <v>23</v>
      </c>
      <c r="F14" s="9" t="s">
        <v>24</v>
      </c>
      <c r="G14" s="9" t="s">
        <v>59</v>
      </c>
      <c r="H14" s="9" t="s">
        <v>60</v>
      </c>
      <c r="I14" s="9" t="s">
        <v>27</v>
      </c>
      <c r="J14" s="9"/>
      <c r="K14" s="9" t="s">
        <v>61</v>
      </c>
    </row>
    <row r="15" customFormat="false" ht="27.75" hidden="false" customHeight="true" outlineLevel="0" collapsed="false">
      <c r="A15" s="9" t="n">
        <v>8</v>
      </c>
      <c r="B15" s="9" t="s">
        <v>62</v>
      </c>
      <c r="C15" s="9" t="s">
        <v>35</v>
      </c>
      <c r="D15" s="9" t="s">
        <v>63</v>
      </c>
      <c r="E15" s="9" t="s">
        <v>23</v>
      </c>
      <c r="F15" s="9" t="s">
        <v>64</v>
      </c>
      <c r="G15" s="9" t="s">
        <v>65</v>
      </c>
      <c r="H15" s="9" t="s">
        <v>66</v>
      </c>
      <c r="I15" s="9" t="s">
        <v>27</v>
      </c>
      <c r="J15" s="9" t="s">
        <v>67</v>
      </c>
      <c r="K15" s="9" t="s">
        <v>68</v>
      </c>
    </row>
    <row r="16" customFormat="false" ht="27.75" hidden="false" customHeight="true" outlineLevel="0" collapsed="false">
      <c r="A16" s="9" t="n">
        <v>9</v>
      </c>
      <c r="B16" s="9" t="s">
        <v>69</v>
      </c>
      <c r="C16" s="9" t="s">
        <v>70</v>
      </c>
      <c r="D16" s="9" t="s">
        <v>22</v>
      </c>
      <c r="E16" s="9" t="s">
        <v>23</v>
      </c>
      <c r="F16" s="9" t="s">
        <v>71</v>
      </c>
      <c r="G16" s="9" t="s">
        <v>72</v>
      </c>
      <c r="H16" s="9" t="s">
        <v>73</v>
      </c>
      <c r="I16" s="9" t="s">
        <v>27</v>
      </c>
      <c r="J16" s="9"/>
      <c r="K16" s="9" t="s">
        <v>74</v>
      </c>
    </row>
    <row r="17" customFormat="false" ht="27.75" hidden="false" customHeight="true" outlineLevel="0" collapsed="false">
      <c r="A17" s="9" t="n">
        <v>10</v>
      </c>
      <c r="B17" s="9" t="s">
        <v>75</v>
      </c>
      <c r="C17" s="9" t="s">
        <v>76</v>
      </c>
      <c r="D17" s="9" t="s">
        <v>22</v>
      </c>
      <c r="E17" s="9" t="s">
        <v>23</v>
      </c>
      <c r="F17" s="9" t="s">
        <v>77</v>
      </c>
      <c r="G17" s="9" t="s">
        <v>78</v>
      </c>
      <c r="H17" s="9" t="s">
        <v>79</v>
      </c>
      <c r="I17" s="9" t="s">
        <v>27</v>
      </c>
      <c r="J17" s="9" t="s">
        <v>80</v>
      </c>
      <c r="K17" s="9" t="s">
        <v>81</v>
      </c>
    </row>
    <row r="19" customFormat="false" ht="14.25" hidden="false" customHeight="true" outlineLevel="0" collapsed="false">
      <c r="A19" s="10" t="s">
        <v>82</v>
      </c>
    </row>
    <row r="20" customFormat="false" ht="14.25" hidden="false" customHeight="true" outlineLevel="0" collapsed="false">
      <c r="A20" s="7" t="s">
        <v>83</v>
      </c>
      <c r="B20" s="11" t="n">
        <f aca="false">COUNTA(B8:B17)</f>
        <v>10</v>
      </c>
    </row>
    <row r="21" customFormat="false" ht="14.25" hidden="false" customHeight="true" outlineLevel="0" collapsed="false">
      <c r="A21" s="7" t="s">
        <v>27</v>
      </c>
      <c r="B21" s="11" t="n">
        <f aca="false">COUNTIF(I8:I17,"Passou")</f>
        <v>10</v>
      </c>
    </row>
    <row r="22" customFormat="false" ht="14.25" hidden="false" customHeight="true" outlineLevel="0" collapsed="false">
      <c r="A22" s="7" t="s">
        <v>84</v>
      </c>
      <c r="B22" s="11" t="n">
        <f aca="false">COUNTIF(I8:I17,"Falhou")</f>
        <v>0</v>
      </c>
    </row>
    <row r="23" customFormat="false" ht="14.25" hidden="false" customHeight="true" outlineLevel="0" collapsed="false">
      <c r="A23" s="7" t="s">
        <v>85</v>
      </c>
      <c r="B23" s="11" t="n">
        <f aca="false">COUNTIF(I8:I17,"Bloqueado")</f>
        <v>0</v>
      </c>
    </row>
    <row r="24" customFormat="false" ht="14.25" hidden="false" customHeight="true" outlineLevel="0" collapsed="false">
      <c r="A24" s="7" t="s">
        <v>86</v>
      </c>
      <c r="B24" s="11" t="n">
        <f aca="false">COUNTIF(I8:I17,"Não executado")</f>
        <v>0</v>
      </c>
    </row>
    <row r="25" customFormat="false" ht="14.25" hidden="false" customHeight="true" outlineLevel="0" collapsed="false">
      <c r="A25" s="7" t="s">
        <v>87</v>
      </c>
      <c r="B25" s="12" t="n">
        <f aca="false">IF(B20=0,0,(B21+B22+B23)/B20)</f>
        <v>1</v>
      </c>
    </row>
    <row r="26" customFormat="false" ht="14.25" hidden="false" customHeight="true" outlineLevel="0" collapsed="false">
      <c r="A26" s="3" t="s">
        <v>88</v>
      </c>
    </row>
    <row r="27" customFormat="false" ht="14.25" hidden="false" customHeight="true" outlineLevel="0" collapsed="false">
      <c r="A27" s="3"/>
    </row>
  </sheetData>
  <conditionalFormatting sqref="I8:I17">
    <cfRule type="cellIs" priority="2" operator="equal" aboveAverage="0" equalAverage="0" bottom="0" percent="0" rank="0" text="" dxfId="0">
      <formula>"Passou"</formula>
    </cfRule>
    <cfRule type="cellIs" priority="3" operator="equal" aboveAverage="0" equalAverage="0" bottom="0" percent="0" rank="0" text="" dxfId="1">
      <formula>"Falhou"</formula>
    </cfRule>
    <cfRule type="cellIs" priority="4" operator="equal" aboveAverage="0" equalAverage="0" bottom="0" percent="0" rank="0" text="" dxfId="2">
      <formula>"Bloqueado"</formula>
    </cfRule>
  </conditionalFormatting>
  <dataValidations count="1">
    <dataValidation allowBlank="false" errorStyle="stop" operator="between" showDropDown="false" showErrorMessage="false" showInputMessage="false" sqref="I8:I17" type="list">
      <formula1>"Passou,Falhou,Bloqueado,Não executado"</formula1>
      <formula2>0</formula2>
    </dataValidation>
  </dataValidations>
  <hyperlinks>
    <hyperlink ref="B5" r:id="rId1" display="Google Chrome, versão 154.0.8037.57 (64 bits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C16" activeCellId="0" sqref="C1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36"/>
    <col collapsed="false" customWidth="true" hidden="false" outlineLevel="0" max="4" min="4" style="1" width="40"/>
    <col collapsed="false" customWidth="true" hidden="false" outlineLevel="0" max="6" min="5" style="1" width="30"/>
    <col collapsed="false" customWidth="true" hidden="false" outlineLevel="0" max="8" min="7" style="1" width="13"/>
    <col collapsed="false" customWidth="true" hidden="false" outlineLevel="0" max="9" min="9" style="1" width="22"/>
  </cols>
  <sheetData>
    <row r="1" customFormat="false" ht="18" hidden="false" customHeight="true" outlineLevel="0" collapsed="false">
      <c r="A1" s="2" t="s">
        <v>89</v>
      </c>
    </row>
    <row r="2" customFormat="false" ht="14.25" hidden="false" customHeight="true" outlineLevel="0" collapsed="false">
      <c r="A2" s="3" t="s">
        <v>90</v>
      </c>
    </row>
    <row r="4" customFormat="false" ht="14.25" hidden="false" customHeight="true" outlineLevel="0" collapsed="false">
      <c r="A4" s="8" t="s">
        <v>91</v>
      </c>
      <c r="B4" s="8" t="s">
        <v>92</v>
      </c>
      <c r="C4" s="8" t="s">
        <v>93</v>
      </c>
      <c r="D4" s="8" t="s">
        <v>94</v>
      </c>
      <c r="E4" s="8" t="s">
        <v>15</v>
      </c>
      <c r="F4" s="8" t="s">
        <v>95</v>
      </c>
      <c r="G4" s="8" t="s">
        <v>96</v>
      </c>
      <c r="H4" s="8" t="s">
        <v>97</v>
      </c>
      <c r="I4" s="8" t="s">
        <v>19</v>
      </c>
    </row>
    <row r="5" customFormat="false" ht="64.5" hidden="false" customHeight="true" outlineLevel="0" collapsed="false">
      <c r="A5" s="9" t="s">
        <v>98</v>
      </c>
      <c r="B5" s="9" t="n">
        <v>2</v>
      </c>
      <c r="C5" s="9" t="s">
        <v>99</v>
      </c>
      <c r="D5" s="9" t="s">
        <v>100</v>
      </c>
      <c r="E5" s="9" t="s">
        <v>101</v>
      </c>
      <c r="F5" s="9" t="s">
        <v>102</v>
      </c>
      <c r="G5" s="9" t="s">
        <v>103</v>
      </c>
      <c r="H5" s="9" t="s">
        <v>103</v>
      </c>
      <c r="I5" s="9" t="s">
        <v>104</v>
      </c>
    </row>
    <row r="6" customFormat="false" ht="14.25" hidden="false" customHeight="true" outlineLevel="0" collapsed="false">
      <c r="A6" s="9" t="s">
        <v>105</v>
      </c>
      <c r="B6" s="9"/>
      <c r="C6" s="9"/>
      <c r="D6" s="9"/>
      <c r="E6" s="9"/>
      <c r="F6" s="9"/>
      <c r="G6" s="9"/>
      <c r="H6" s="9"/>
      <c r="I6" s="9"/>
    </row>
    <row r="7" customFormat="false" ht="14.25" hidden="false" customHeight="true" outlineLevel="0" collapsed="false">
      <c r="A7" s="9" t="s">
        <v>106</v>
      </c>
      <c r="B7" s="9"/>
      <c r="C7" s="9"/>
      <c r="D7" s="9"/>
      <c r="E7" s="9"/>
      <c r="F7" s="9"/>
      <c r="G7" s="9"/>
      <c r="H7" s="9"/>
      <c r="I7" s="9"/>
    </row>
    <row r="8" customFormat="false" ht="14.25" hidden="false" customHeight="true" outlineLevel="0" collapsed="false">
      <c r="A8" s="9" t="s">
        <v>107</v>
      </c>
      <c r="B8" s="9"/>
      <c r="C8" s="9"/>
      <c r="D8" s="9"/>
      <c r="E8" s="9"/>
      <c r="F8" s="9"/>
      <c r="G8" s="9"/>
      <c r="H8" s="9"/>
      <c r="I8" s="9"/>
    </row>
    <row r="9" customFormat="false" ht="14.25" hidden="false" customHeight="true" outlineLevel="0" collapsed="false">
      <c r="A9" s="9" t="s">
        <v>108</v>
      </c>
      <c r="B9" s="9"/>
      <c r="C9" s="9"/>
      <c r="D9" s="9"/>
      <c r="E9" s="9"/>
      <c r="F9" s="9"/>
      <c r="G9" s="9"/>
      <c r="H9" s="9"/>
      <c r="I9" s="9"/>
    </row>
    <row r="10" customFormat="false" ht="14.25" hidden="false" customHeight="true" outlineLevel="0" collapsed="false">
      <c r="A10" s="9" t="s">
        <v>109</v>
      </c>
      <c r="B10" s="9"/>
      <c r="C10" s="9"/>
      <c r="D10" s="9"/>
      <c r="E10" s="9"/>
      <c r="F10" s="9"/>
      <c r="G10" s="9"/>
      <c r="H10" s="9"/>
      <c r="I10" s="9"/>
    </row>
    <row r="11" customFormat="false" ht="14.25" hidden="false" customHeight="true" outlineLevel="0" collapsed="false">
      <c r="A11" s="9" t="s">
        <v>110</v>
      </c>
      <c r="B11" s="9"/>
      <c r="C11" s="9"/>
      <c r="D11" s="9"/>
      <c r="E11" s="9"/>
      <c r="F11" s="9"/>
      <c r="G11" s="9"/>
      <c r="H11" s="9"/>
      <c r="I11" s="9"/>
    </row>
    <row r="12" customFormat="false" ht="14.25" hidden="false" customHeight="true" outlineLevel="0" collapsed="false">
      <c r="A12" s="9" t="s">
        <v>111</v>
      </c>
      <c r="B12" s="9"/>
      <c r="C12" s="9"/>
      <c r="D12" s="9"/>
      <c r="E12" s="9"/>
      <c r="F12" s="9"/>
      <c r="G12" s="9"/>
      <c r="H12" s="9"/>
      <c r="I12" s="9"/>
    </row>
    <row r="14" customFormat="false" ht="14.25" hidden="false" customHeight="true" outlineLevel="0" collapsed="false">
      <c r="A14" s="13"/>
    </row>
  </sheetData>
  <dataValidations count="2">
    <dataValidation allowBlank="true" errorStyle="stop" operator="between" showDropDown="false" showErrorMessage="false" showInputMessage="false" sqref="G5:G12" type="list">
      <formula1>"Crítica,Alta,Média,Baixa"</formula1>
      <formula2>0</formula2>
    </dataValidation>
    <dataValidation allowBlank="true" errorStyle="stop" operator="between" showDropDown="false" showErrorMessage="false" showInputMessage="false" sqref="H5:H12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9E62"/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82"/>
  </cols>
  <sheetData>
    <row r="1" customFormat="false" ht="17.25" hidden="false" customHeight="true" outlineLevel="0" collapsed="false">
      <c r="A1" s="2" t="s">
        <v>112</v>
      </c>
    </row>
    <row r="2" customFormat="false" ht="15" hidden="false" customHeight="true" outlineLevel="0" collapsed="false">
      <c r="A2" s="3" t="s">
        <v>113</v>
      </c>
    </row>
    <row r="4" customFormat="false" ht="15" hidden="false" customHeight="true" outlineLevel="0" collapsed="false">
      <c r="A4" s="14" t="s">
        <v>10</v>
      </c>
      <c r="B4" s="14" t="s">
        <v>114</v>
      </c>
      <c r="C4" s="14" t="s">
        <v>115</v>
      </c>
    </row>
    <row r="5" customFormat="false" ht="213.75" hidden="false" customHeight="true" outlineLevel="0" collapsed="false">
      <c r="A5" s="15" t="n">
        <v>1</v>
      </c>
      <c r="B5" s="16" t="s">
        <v>28</v>
      </c>
      <c r="C5" s="17"/>
    </row>
    <row r="6" customFormat="false" ht="215.25" hidden="false" customHeight="true" outlineLevel="0" collapsed="false">
      <c r="A6" s="15" t="n">
        <v>2</v>
      </c>
      <c r="B6" s="16" t="s">
        <v>116</v>
      </c>
      <c r="C6" s="17"/>
    </row>
    <row r="7" customFormat="false" ht="228" hidden="false" customHeight="true" outlineLevel="0" collapsed="false">
      <c r="A7" s="15" t="n">
        <v>3</v>
      </c>
      <c r="B7" s="16" t="s">
        <v>41</v>
      </c>
      <c r="C7" s="17"/>
    </row>
    <row r="8" customFormat="false" ht="183" hidden="false" customHeight="true" outlineLevel="0" collapsed="false">
      <c r="A8" s="15" t="n">
        <v>4</v>
      </c>
      <c r="B8" s="16" t="s">
        <v>45</v>
      </c>
      <c r="C8" s="17"/>
    </row>
    <row r="9" customFormat="false" ht="192.75" hidden="false" customHeight="true" outlineLevel="0" collapsed="false">
      <c r="A9" s="15" t="n">
        <v>5</v>
      </c>
      <c r="B9" s="16" t="s">
        <v>51</v>
      </c>
      <c r="C9" s="17"/>
    </row>
    <row r="10" customFormat="false" ht="226.5" hidden="false" customHeight="true" outlineLevel="0" collapsed="false">
      <c r="A10" s="15" t="n">
        <v>6</v>
      </c>
      <c r="B10" s="16" t="s">
        <v>56</v>
      </c>
      <c r="C10" s="17"/>
    </row>
    <row r="11" customFormat="false" ht="189" hidden="false" customHeight="true" outlineLevel="0" collapsed="false">
      <c r="A11" s="15" t="n">
        <v>7</v>
      </c>
      <c r="B11" s="16" t="s">
        <v>61</v>
      </c>
      <c r="C11" s="17"/>
    </row>
    <row r="12" customFormat="false" ht="199.5" hidden="false" customHeight="true" outlineLevel="0" collapsed="false">
      <c r="A12" s="15" t="n">
        <v>8</v>
      </c>
      <c r="B12" s="16" t="s">
        <v>68</v>
      </c>
      <c r="C12" s="17"/>
    </row>
    <row r="13" customFormat="false" ht="216.75" hidden="false" customHeight="true" outlineLevel="0" collapsed="false">
      <c r="A13" s="15" t="n">
        <v>9</v>
      </c>
      <c r="B13" s="16" t="s">
        <v>74</v>
      </c>
      <c r="C13" s="17"/>
    </row>
    <row r="14" customFormat="false" ht="306.75" hidden="false" customHeight="true" outlineLevel="0" collapsed="false">
      <c r="A14" s="15" t="n">
        <v>10</v>
      </c>
      <c r="B14" s="16" t="s">
        <v>81</v>
      </c>
      <c r="C14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2026-10-11T13:38:04Z</dcterms:created>
  <dc:creator>openpyxl</dc:creator>
  <dc:description/>
  <dc:language>en-US</dc:language>
  <cp:lastModifiedBy>Liliane Costa</cp:lastModifiedBy>
  <dcterms:modified xsi:type="dcterms:W3CDTF">2026-10-11T23:16:55Z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